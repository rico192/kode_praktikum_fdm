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oA\Documents\Kuliah\Octave\Praktikum\FDM\Modul_3\"/>
    </mc:Choice>
  </mc:AlternateContent>
  <xr:revisionPtr revIDLastSave="0" documentId="8_{570CFCEF-9A1B-4A93-96C6-2F987DA0D702}" xr6:coauthVersionLast="47" xr6:coauthVersionMax="47" xr10:uidLastSave="{00000000-0000-0000-0000-000000000000}"/>
  <bookViews>
    <workbookView xWindow="-120" yWindow="-120" windowWidth="20730" windowHeight="11160" activeTab="1" xr2:uid="{F6F27ACB-3D0D-4270-A9C6-835DEAA5535B}"/>
  </bookViews>
  <sheets>
    <sheet name="Sheet1" sheetId="1" r:id="rId1"/>
    <sheet name="30H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7" i="1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7" i="2"/>
  <c r="D38" i="2"/>
  <c r="D38" i="1"/>
</calcChain>
</file>

<file path=xl/sharedStrings.xml><?xml version="1.0" encoding="utf-8"?>
<sst xmlns="http://schemas.openxmlformats.org/spreadsheetml/2006/main" count="30" uniqueCount="11">
  <si>
    <t>Section</t>
  </si>
  <si>
    <t>Delta H</t>
  </si>
  <si>
    <t>0deg</t>
  </si>
  <si>
    <t>5deg</t>
  </si>
  <si>
    <t>10deg</t>
  </si>
  <si>
    <t>15deg</t>
  </si>
  <si>
    <t>v</t>
  </si>
  <si>
    <t>rho</t>
  </si>
  <si>
    <t>rhoH2O</t>
  </si>
  <si>
    <t>Cp</t>
  </si>
  <si>
    <t>CpX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</si>
</sst>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@20Hz 0˚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Sheet1!$I$5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6E8-48D5-8178-92A1FA41D685}"/>
              </c:ext>
            </c:extLst>
          </c:dPt>
          <c:val>
            <c:numRef>
              <c:f>Sheet1!$I$7:$I$31</c:f>
              <c:numCache>
                <c:formatCode>General</c:formatCode>
                <c:ptCount val="25"/>
                <c:pt idx="0">
                  <c:v>0.85910639388691679</c:v>
                </c:pt>
                <c:pt idx="1">
                  <c:v>0.68728511510953338</c:v>
                </c:pt>
                <c:pt idx="2">
                  <c:v>0.85910639388691679</c:v>
                </c:pt>
                <c:pt idx="3">
                  <c:v>1.0309276726643002</c:v>
                </c:pt>
                <c:pt idx="4">
                  <c:v>1.3745702302190668</c:v>
                </c:pt>
                <c:pt idx="5">
                  <c:v>1.3745702302190668</c:v>
                </c:pt>
                <c:pt idx="6">
                  <c:v>1.7182127877738336</c:v>
                </c:pt>
                <c:pt idx="7">
                  <c:v>1.5463915089964504</c:v>
                </c:pt>
                <c:pt idx="8">
                  <c:v>1.7182127877738336</c:v>
                </c:pt>
                <c:pt idx="9">
                  <c:v>1.3745702302190668</c:v>
                </c:pt>
                <c:pt idx="10">
                  <c:v>1.5463915089964504</c:v>
                </c:pt>
                <c:pt idx="11">
                  <c:v>1.3745702302190668</c:v>
                </c:pt>
                <c:pt idx="12">
                  <c:v>0.68728511510953338</c:v>
                </c:pt>
                <c:pt idx="13">
                  <c:v>0</c:v>
                </c:pt>
                <c:pt idx="14">
                  <c:v>0.68728511510953338</c:v>
                </c:pt>
                <c:pt idx="15">
                  <c:v>1.0309276726643002</c:v>
                </c:pt>
                <c:pt idx="16">
                  <c:v>1.2027489514416834</c:v>
                </c:pt>
                <c:pt idx="17">
                  <c:v>1.0309276726643002</c:v>
                </c:pt>
                <c:pt idx="18">
                  <c:v>1.0309276726643002</c:v>
                </c:pt>
                <c:pt idx="19">
                  <c:v>0.85910639388691679</c:v>
                </c:pt>
                <c:pt idx="20">
                  <c:v>-0.34364255755476669</c:v>
                </c:pt>
                <c:pt idx="21">
                  <c:v>1.2027489514416834</c:v>
                </c:pt>
                <c:pt idx="22">
                  <c:v>1.0309276726643002</c:v>
                </c:pt>
                <c:pt idx="23">
                  <c:v>1.0309276726643002</c:v>
                </c:pt>
                <c:pt idx="24">
                  <c:v>0.68728511510953338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E8-48D5-8178-92A1FA41D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32688"/>
        <c:axId val="30773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Sheet1!$C$5:$C$6</c15:sqref>
                        </c15:formulaRef>
                      </c:ext>
                    </c:extLst>
                    <c:strCache>
                      <c:ptCount val="2"/>
                      <c:pt idx="0">
                        <c:v>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6E8-48D5-8178-92A1FA41D685}"/>
                  </c:ext>
                </c:extLst>
              </c15:ser>
            </c15:filteredLineSeries>
          </c:ext>
        </c:extLst>
      </c:lineChart>
      <c:catAx>
        <c:axId val="3077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4128"/>
        <c:crosses val="autoZero"/>
        <c:auto val="1"/>
        <c:lblAlgn val="ctr"/>
        <c:lblOffset val="100"/>
        <c:noMultiLvlLbl val="0"/>
      </c:catAx>
      <c:valAx>
        <c:axId val="30773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∆H @20Hz</a:t>
            </a:r>
            <a:r>
              <a:rPr lang="en-US" baseline="0"/>
              <a:t> 0˚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Sheet1!$D$6</c:f>
              <c:strCache>
                <c:ptCount val="1"/>
                <c:pt idx="0">
                  <c:v>0deg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Sheet1!$D$7:$D$31</c:f>
              <c:numCache>
                <c:formatCode>General</c:formatCode>
                <c:ptCount val="25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4</c:v>
                </c:pt>
                <c:pt idx="13">
                  <c:v>0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-2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7-4CC3-97D1-BE8126DEC0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645408"/>
        <c:axId val="125646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BC7-4CC3-97D1-BE8126DEC0DA}"/>
                  </c:ext>
                </c:extLst>
              </c15:ser>
            </c15:filteredBarSeries>
          </c:ext>
        </c:extLst>
      </c:barChart>
      <c:catAx>
        <c:axId val="1256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6368"/>
        <c:crosses val="autoZero"/>
        <c:auto val="1"/>
        <c:lblAlgn val="ctr"/>
        <c:lblOffset val="100"/>
        <c:noMultiLvlLbl val="0"/>
      </c:catAx>
      <c:valAx>
        <c:axId val="12564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@20Hz 5˚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Sheet1!$I$5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Sheet1!$J$7:$J$31</c:f>
              <c:numCache>
                <c:formatCode>General</c:formatCode>
                <c:ptCount val="25"/>
                <c:pt idx="0">
                  <c:v>1.0309276726643002</c:v>
                </c:pt>
                <c:pt idx="1">
                  <c:v>0.51546383633215009</c:v>
                </c:pt>
                <c:pt idx="2">
                  <c:v>0.85910639388691679</c:v>
                </c:pt>
                <c:pt idx="3">
                  <c:v>1.0309276726643002</c:v>
                </c:pt>
                <c:pt idx="4">
                  <c:v>1.2027489514416834</c:v>
                </c:pt>
                <c:pt idx="5">
                  <c:v>1.0309276726643002</c:v>
                </c:pt>
                <c:pt idx="6">
                  <c:v>1.0309276726643002</c:v>
                </c:pt>
                <c:pt idx="7">
                  <c:v>1.0309276726643002</c:v>
                </c:pt>
                <c:pt idx="8">
                  <c:v>1.2027489514416834</c:v>
                </c:pt>
                <c:pt idx="9">
                  <c:v>0.85910639388691679</c:v>
                </c:pt>
                <c:pt idx="10">
                  <c:v>0.68728511510953338</c:v>
                </c:pt>
                <c:pt idx="11">
                  <c:v>0.34364255755476669</c:v>
                </c:pt>
                <c:pt idx="12">
                  <c:v>-0.17182127877738335</c:v>
                </c:pt>
                <c:pt idx="13">
                  <c:v>1.2027489514416834</c:v>
                </c:pt>
                <c:pt idx="14">
                  <c:v>1.7182127877738336</c:v>
                </c:pt>
                <c:pt idx="15">
                  <c:v>1.890034066551217</c:v>
                </c:pt>
                <c:pt idx="16">
                  <c:v>1.890034066551217</c:v>
                </c:pt>
                <c:pt idx="17">
                  <c:v>1.890034066551217</c:v>
                </c:pt>
                <c:pt idx="18">
                  <c:v>1.7182127877738336</c:v>
                </c:pt>
                <c:pt idx="19">
                  <c:v>1.0309276726643002</c:v>
                </c:pt>
                <c:pt idx="20">
                  <c:v>-0.17182127877738335</c:v>
                </c:pt>
                <c:pt idx="21">
                  <c:v>1.2027489514416834</c:v>
                </c:pt>
                <c:pt idx="22">
                  <c:v>1.0309276726643002</c:v>
                </c:pt>
                <c:pt idx="23">
                  <c:v>1.0309276726643002</c:v>
                </c:pt>
                <c:pt idx="24">
                  <c:v>0.68728511510953338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D-4009-9219-BF22A0348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32688"/>
        <c:axId val="30773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Sheet1!$C$5:$C$6</c15:sqref>
                        </c15:formulaRef>
                      </c:ext>
                    </c:extLst>
                    <c:strCache>
                      <c:ptCount val="2"/>
                      <c:pt idx="0">
                        <c:v>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9FD-4009-9219-BF22A03483B3}"/>
                  </c:ext>
                </c:extLst>
              </c15:ser>
            </c15:filteredLineSeries>
          </c:ext>
        </c:extLst>
      </c:lineChart>
      <c:catAx>
        <c:axId val="3077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4128"/>
        <c:crosses val="autoZero"/>
        <c:auto val="1"/>
        <c:lblAlgn val="ctr"/>
        <c:lblOffset val="100"/>
        <c:noMultiLvlLbl val="0"/>
      </c:catAx>
      <c:valAx>
        <c:axId val="30773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@20Hz 10˚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Sheet1!$I$5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Sheet1!$K$7:$K$31</c:f>
              <c:numCache>
                <c:formatCode>General</c:formatCode>
                <c:ptCount val="25"/>
                <c:pt idx="0">
                  <c:v>1.0309276726643002</c:v>
                </c:pt>
                <c:pt idx="1">
                  <c:v>0.51546383633215009</c:v>
                </c:pt>
                <c:pt idx="2">
                  <c:v>0.85910639388691679</c:v>
                </c:pt>
                <c:pt idx="3">
                  <c:v>0.85910639388691679</c:v>
                </c:pt>
                <c:pt idx="4">
                  <c:v>1.0309276726643002</c:v>
                </c:pt>
                <c:pt idx="5">
                  <c:v>0.85910639388691679</c:v>
                </c:pt>
                <c:pt idx="6">
                  <c:v>0.68728511510953338</c:v>
                </c:pt>
                <c:pt idx="7">
                  <c:v>0.68728511510953338</c:v>
                </c:pt>
                <c:pt idx="8">
                  <c:v>0.51546383633215009</c:v>
                </c:pt>
                <c:pt idx="9">
                  <c:v>0.17182127877738335</c:v>
                </c:pt>
                <c:pt idx="10">
                  <c:v>0.17182127877738335</c:v>
                </c:pt>
                <c:pt idx="11">
                  <c:v>-0.17182127877738335</c:v>
                </c:pt>
                <c:pt idx="12">
                  <c:v>0.17182127877738335</c:v>
                </c:pt>
                <c:pt idx="13">
                  <c:v>0.34364255755476669</c:v>
                </c:pt>
                <c:pt idx="14">
                  <c:v>3.2646042967702837</c:v>
                </c:pt>
                <c:pt idx="15">
                  <c:v>2.5773191816607506</c:v>
                </c:pt>
                <c:pt idx="16">
                  <c:v>2.0618553453286004</c:v>
                </c:pt>
                <c:pt idx="17">
                  <c:v>1.7182127877738336</c:v>
                </c:pt>
                <c:pt idx="18">
                  <c:v>1.5463915089964504</c:v>
                </c:pt>
                <c:pt idx="19">
                  <c:v>1.0309276726643002</c:v>
                </c:pt>
                <c:pt idx="20">
                  <c:v>-0.17182127877738335</c:v>
                </c:pt>
                <c:pt idx="21">
                  <c:v>1.2027489514416834</c:v>
                </c:pt>
                <c:pt idx="22">
                  <c:v>1.2027489514416834</c:v>
                </c:pt>
                <c:pt idx="23">
                  <c:v>1.0309276726643002</c:v>
                </c:pt>
                <c:pt idx="24">
                  <c:v>0.85910639388691679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3-4E5C-8031-8A1042257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32688"/>
        <c:axId val="30773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Sheet1!$C$5:$C$6</c15:sqref>
                        </c15:formulaRef>
                      </c:ext>
                    </c:extLst>
                    <c:strCache>
                      <c:ptCount val="2"/>
                      <c:pt idx="0">
                        <c:v>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E43-4E5C-8031-8A1042257ED4}"/>
                  </c:ext>
                </c:extLst>
              </c15:ser>
            </c15:filteredLineSeries>
          </c:ext>
        </c:extLst>
      </c:lineChart>
      <c:catAx>
        <c:axId val="3077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4128"/>
        <c:crosses val="autoZero"/>
        <c:auto val="1"/>
        <c:lblAlgn val="ctr"/>
        <c:lblOffset val="100"/>
        <c:noMultiLvlLbl val="0"/>
      </c:catAx>
      <c:valAx>
        <c:axId val="30773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@20Hz 15˚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Sheet1!$I$5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Sheet1!$L$7:$L$31</c:f>
              <c:numCache>
                <c:formatCode>General</c:formatCode>
                <c:ptCount val="25"/>
                <c:pt idx="0">
                  <c:v>1.3745702302190668</c:v>
                </c:pt>
                <c:pt idx="1">
                  <c:v>0.85910639388691679</c:v>
                </c:pt>
                <c:pt idx="2">
                  <c:v>1.0309276726643002</c:v>
                </c:pt>
                <c:pt idx="3">
                  <c:v>1.0309276726643002</c:v>
                </c:pt>
                <c:pt idx="4">
                  <c:v>0.85910639388691679</c:v>
                </c:pt>
                <c:pt idx="5">
                  <c:v>0.68728511510953338</c:v>
                </c:pt>
                <c:pt idx="6">
                  <c:v>0.51546383633215009</c:v>
                </c:pt>
                <c:pt idx="7">
                  <c:v>0.34364255755476669</c:v>
                </c:pt>
                <c:pt idx="8">
                  <c:v>0.34364255755476669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0.34364255755476669</c:v>
                </c:pt>
                <c:pt idx="13">
                  <c:v>1.7182127877738336</c:v>
                </c:pt>
                <c:pt idx="14">
                  <c:v>1.5463915089964504</c:v>
                </c:pt>
                <c:pt idx="15">
                  <c:v>1.5463915089964504</c:v>
                </c:pt>
                <c:pt idx="16">
                  <c:v>1.5463915089964504</c:v>
                </c:pt>
                <c:pt idx="17">
                  <c:v>1.5463915089964504</c:v>
                </c:pt>
                <c:pt idx="18">
                  <c:v>1.5463915089964504</c:v>
                </c:pt>
                <c:pt idx="19">
                  <c:v>1.2027489514416834</c:v>
                </c:pt>
                <c:pt idx="20">
                  <c:v>0</c:v>
                </c:pt>
                <c:pt idx="21">
                  <c:v>1.890034066551217</c:v>
                </c:pt>
                <c:pt idx="22">
                  <c:v>1.7182127877738336</c:v>
                </c:pt>
                <c:pt idx="23">
                  <c:v>1.5463915089964504</c:v>
                </c:pt>
                <c:pt idx="24">
                  <c:v>1.5463915089964504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7-4B34-AF93-2D00FEFAB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32688"/>
        <c:axId val="30773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Sheet1!$C$5:$C$6</c15:sqref>
                        </c15:formulaRef>
                      </c:ext>
                    </c:extLst>
                    <c:strCache>
                      <c:ptCount val="2"/>
                      <c:pt idx="0">
                        <c:v>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7F7-4B34-AF93-2D00FEFAB054}"/>
                  </c:ext>
                </c:extLst>
              </c15:ser>
            </c15:filteredLineSeries>
          </c:ext>
        </c:extLst>
      </c:lineChart>
      <c:catAx>
        <c:axId val="3077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4128"/>
        <c:crosses val="autoZero"/>
        <c:auto val="1"/>
        <c:lblAlgn val="ctr"/>
        <c:lblOffset val="100"/>
        <c:noMultiLvlLbl val="0"/>
      </c:catAx>
      <c:valAx>
        <c:axId val="30773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∆H @20Hz</a:t>
            </a:r>
            <a:r>
              <a:rPr lang="en-US" baseline="0"/>
              <a:t> 5˚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Sheet1!$E$6</c:f>
              <c:strCache>
                <c:ptCount val="1"/>
                <c:pt idx="0">
                  <c:v>5deg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Sheet1!$E$7:$E$31</c:f>
              <c:numCache>
                <c:formatCode>General</c:formatCode>
                <c:ptCount val="25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-1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10</c:v>
                </c:pt>
                <c:pt idx="19">
                  <c:v>6</c:v>
                </c:pt>
                <c:pt idx="20">
                  <c:v>-1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3-4ECF-A2DC-9B9CD5B7D5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645408"/>
        <c:axId val="125646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C53-4ECF-A2DC-9B9CD5B7D52A}"/>
                  </c:ext>
                </c:extLst>
              </c15:ser>
            </c15:filteredBarSeries>
          </c:ext>
        </c:extLst>
      </c:barChart>
      <c:catAx>
        <c:axId val="1256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6368"/>
        <c:crosses val="autoZero"/>
        <c:auto val="1"/>
        <c:lblAlgn val="ctr"/>
        <c:lblOffset val="100"/>
        <c:noMultiLvlLbl val="0"/>
      </c:catAx>
      <c:valAx>
        <c:axId val="12564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∆H @20Hz</a:t>
            </a:r>
            <a:r>
              <a:rPr lang="en-US" baseline="0"/>
              <a:t> 10˚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Sheet1!$F$6</c:f>
              <c:strCache>
                <c:ptCount val="1"/>
                <c:pt idx="0">
                  <c:v>10deg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Sheet1!$F$7:$F$31</c:f>
              <c:numCache>
                <c:formatCode>General</c:formatCode>
                <c:ptCount val="25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-1</c:v>
                </c:pt>
                <c:pt idx="12">
                  <c:v>1</c:v>
                </c:pt>
                <c:pt idx="13">
                  <c:v>2</c:v>
                </c:pt>
                <c:pt idx="14">
                  <c:v>19</c:v>
                </c:pt>
                <c:pt idx="15">
                  <c:v>15</c:v>
                </c:pt>
                <c:pt idx="16">
                  <c:v>12</c:v>
                </c:pt>
                <c:pt idx="17">
                  <c:v>10</c:v>
                </c:pt>
                <c:pt idx="18">
                  <c:v>9</c:v>
                </c:pt>
                <c:pt idx="19">
                  <c:v>6</c:v>
                </c:pt>
                <c:pt idx="20">
                  <c:v>-1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B-4DA9-8B83-94BCA6EC93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645408"/>
        <c:axId val="125646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05B-4DA9-8B83-94BCA6EC936F}"/>
                  </c:ext>
                </c:extLst>
              </c15:ser>
            </c15:filteredBarSeries>
          </c:ext>
        </c:extLst>
      </c:barChart>
      <c:catAx>
        <c:axId val="1256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6368"/>
        <c:crosses val="autoZero"/>
        <c:auto val="1"/>
        <c:lblAlgn val="ctr"/>
        <c:lblOffset val="100"/>
        <c:noMultiLvlLbl val="0"/>
      </c:catAx>
      <c:valAx>
        <c:axId val="12564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∆H @20Hz</a:t>
            </a:r>
            <a:r>
              <a:rPr lang="en-US" baseline="0"/>
              <a:t> 15˚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Sheet1!$G$6</c:f>
              <c:strCache>
                <c:ptCount val="1"/>
                <c:pt idx="0">
                  <c:v>15deg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Sheet1!$G$7:$G$31</c:f>
              <c:numCache>
                <c:formatCode>General</c:formatCode>
                <c:ptCount val="25"/>
                <c:pt idx="0">
                  <c:v>8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7</c:v>
                </c:pt>
                <c:pt idx="20">
                  <c:v>0</c:v>
                </c:pt>
                <c:pt idx="21">
                  <c:v>11</c:v>
                </c:pt>
                <c:pt idx="22">
                  <c:v>10</c:v>
                </c:pt>
                <c:pt idx="23">
                  <c:v>9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9-425E-A60C-141984CD65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645408"/>
        <c:axId val="125646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F29-425E-A60C-141984CD6542}"/>
                  </c:ext>
                </c:extLst>
              </c15:ser>
            </c15:filteredBarSeries>
          </c:ext>
        </c:extLst>
      </c:barChart>
      <c:catAx>
        <c:axId val="1256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6368"/>
        <c:crosses val="autoZero"/>
        <c:auto val="1"/>
        <c:lblAlgn val="ctr"/>
        <c:lblOffset val="100"/>
        <c:noMultiLvlLbl val="0"/>
      </c:catAx>
      <c:valAx>
        <c:axId val="12564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@30Hz 0˚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'30Hz'!$I$5:$L$5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B74-4190-A18E-9CD22E3BD565}"/>
              </c:ext>
            </c:extLst>
          </c:dPt>
          <c:val>
            <c:numRef>
              <c:f>'30Hz'!$I$7:$I$31</c:f>
              <c:numCache>
                <c:formatCode>0.000</c:formatCode>
                <c:ptCount val="25"/>
                <c:pt idx="0">
                  <c:v>0.73881262209437792</c:v>
                </c:pt>
                <c:pt idx="1">
                  <c:v>0.40298870296056982</c:v>
                </c:pt>
                <c:pt idx="2">
                  <c:v>0.67164783826761643</c:v>
                </c:pt>
                <c:pt idx="3">
                  <c:v>0.87314218974790125</c:v>
                </c:pt>
                <c:pt idx="4">
                  <c:v>1.0074717574014245</c:v>
                </c:pt>
                <c:pt idx="5">
                  <c:v>1.0074717574014245</c:v>
                </c:pt>
                <c:pt idx="6">
                  <c:v>1.1418013250549477</c:v>
                </c:pt>
                <c:pt idx="7">
                  <c:v>1.2089661088817094</c:v>
                </c:pt>
                <c:pt idx="8">
                  <c:v>1.3432956765352329</c:v>
                </c:pt>
                <c:pt idx="9">
                  <c:v>1.1418013250549477</c:v>
                </c:pt>
                <c:pt idx="10">
                  <c:v>1.0746365412281862</c:v>
                </c:pt>
                <c:pt idx="11">
                  <c:v>0.87314218974790125</c:v>
                </c:pt>
                <c:pt idx="12">
                  <c:v>0.40298870296056982</c:v>
                </c:pt>
                <c:pt idx="13">
                  <c:v>0</c:v>
                </c:pt>
                <c:pt idx="14">
                  <c:v>0.60448305444085471</c:v>
                </c:pt>
                <c:pt idx="15">
                  <c:v>0.5373182706140931</c:v>
                </c:pt>
                <c:pt idx="16">
                  <c:v>0.40298870296056982</c:v>
                </c:pt>
                <c:pt idx="17">
                  <c:v>0.47015348678733143</c:v>
                </c:pt>
                <c:pt idx="18">
                  <c:v>0.40298870296056982</c:v>
                </c:pt>
                <c:pt idx="19">
                  <c:v>0.73881262209437792</c:v>
                </c:pt>
                <c:pt idx="20">
                  <c:v>-0.47015348678733143</c:v>
                </c:pt>
                <c:pt idx="21">
                  <c:v>0.60448305444085471</c:v>
                </c:pt>
                <c:pt idx="22">
                  <c:v>0.80597740592113964</c:v>
                </c:pt>
                <c:pt idx="23">
                  <c:v>0.73881262209437792</c:v>
                </c:pt>
                <c:pt idx="24">
                  <c:v>0.67164783826761643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4-4190-A18E-9CD22E3BD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32688"/>
        <c:axId val="30773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'30Hz'!$C$5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'30Hz'!$C$7:$C$31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B74-4190-A18E-9CD22E3BD565}"/>
                  </c:ext>
                </c:extLst>
              </c15:ser>
            </c15:filteredLineSeries>
          </c:ext>
        </c:extLst>
      </c:lineChart>
      <c:catAx>
        <c:axId val="3077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4128"/>
        <c:crosses val="autoZero"/>
        <c:auto val="1"/>
        <c:lblAlgn val="ctr"/>
        <c:lblOffset val="100"/>
        <c:noMultiLvlLbl val="0"/>
      </c:catAx>
      <c:valAx>
        <c:axId val="30773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∆H @30Hz</a:t>
            </a:r>
            <a:r>
              <a:rPr lang="en-US" baseline="0"/>
              <a:t> 0˚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'30Hz'!$D$7:$D$31</c:f>
              <c:strCache>
                <c:ptCount val="25"/>
                <c:pt idx="0">
                  <c:v>11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15</c:v>
                </c:pt>
                <c:pt idx="5">
                  <c:v>15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17</c:v>
                </c:pt>
                <c:pt idx="10">
                  <c:v>16</c:v>
                </c:pt>
                <c:pt idx="11">
                  <c:v>13</c:v>
                </c:pt>
                <c:pt idx="12">
                  <c:v>6</c:v>
                </c:pt>
                <c:pt idx="13">
                  <c:v>0</c:v>
                </c:pt>
                <c:pt idx="14">
                  <c:v>9</c:v>
                </c:pt>
                <c:pt idx="15">
                  <c:v>8</c:v>
                </c:pt>
                <c:pt idx="16">
                  <c:v>6</c:v>
                </c:pt>
                <c:pt idx="17">
                  <c:v>7</c:v>
                </c:pt>
                <c:pt idx="18">
                  <c:v>6</c:v>
                </c:pt>
                <c:pt idx="19">
                  <c:v>11</c:v>
                </c:pt>
                <c:pt idx="20">
                  <c:v>-7</c:v>
                </c:pt>
                <c:pt idx="21">
                  <c:v>9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'30Hz'!$D$7:$D$31</c:f>
              <c:numCache>
                <c:formatCode>General</c:formatCode>
                <c:ptCount val="25"/>
                <c:pt idx="0">
                  <c:v>11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15</c:v>
                </c:pt>
                <c:pt idx="5">
                  <c:v>15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17</c:v>
                </c:pt>
                <c:pt idx="10">
                  <c:v>16</c:v>
                </c:pt>
                <c:pt idx="11">
                  <c:v>13</c:v>
                </c:pt>
                <c:pt idx="12">
                  <c:v>6</c:v>
                </c:pt>
                <c:pt idx="13">
                  <c:v>0</c:v>
                </c:pt>
                <c:pt idx="14">
                  <c:v>9</c:v>
                </c:pt>
                <c:pt idx="15">
                  <c:v>8</c:v>
                </c:pt>
                <c:pt idx="16">
                  <c:v>6</c:v>
                </c:pt>
                <c:pt idx="17">
                  <c:v>7</c:v>
                </c:pt>
                <c:pt idx="18">
                  <c:v>6</c:v>
                </c:pt>
                <c:pt idx="19">
                  <c:v>11</c:v>
                </c:pt>
                <c:pt idx="20">
                  <c:v>-7</c:v>
                </c:pt>
                <c:pt idx="21">
                  <c:v>9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B-4DB6-870B-EF1DBDA43B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645408"/>
        <c:axId val="125646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61B-4DB6-870B-EF1DBDA43BE8}"/>
                  </c:ext>
                </c:extLst>
              </c15:ser>
            </c15:filteredBarSeries>
          </c:ext>
        </c:extLst>
      </c:barChart>
      <c:catAx>
        <c:axId val="1256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6368"/>
        <c:crosses val="autoZero"/>
        <c:auto val="1"/>
        <c:lblAlgn val="ctr"/>
        <c:lblOffset val="100"/>
        <c:noMultiLvlLbl val="0"/>
      </c:catAx>
      <c:valAx>
        <c:axId val="12564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@30Hz 5˚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'30Hz'!$I$5:$L$5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'30Hz'!$J$7:$J$31</c:f>
              <c:numCache>
                <c:formatCode>0.000</c:formatCode>
                <c:ptCount val="25"/>
                <c:pt idx="0">
                  <c:v>0.80597740592113964</c:v>
                </c:pt>
                <c:pt idx="1">
                  <c:v>0.5373182706140931</c:v>
                </c:pt>
                <c:pt idx="2">
                  <c:v>0.73881262209437792</c:v>
                </c:pt>
                <c:pt idx="3">
                  <c:v>0.87314218974790125</c:v>
                </c:pt>
                <c:pt idx="4">
                  <c:v>0.87314218974790125</c:v>
                </c:pt>
                <c:pt idx="5">
                  <c:v>0.80597740592113964</c:v>
                </c:pt>
                <c:pt idx="6">
                  <c:v>0.87314218974790125</c:v>
                </c:pt>
                <c:pt idx="7">
                  <c:v>0.94030697357466286</c:v>
                </c:pt>
                <c:pt idx="8">
                  <c:v>0.94030697357466286</c:v>
                </c:pt>
                <c:pt idx="9">
                  <c:v>0.60448305444085471</c:v>
                </c:pt>
                <c:pt idx="10">
                  <c:v>0.60448305444085471</c:v>
                </c:pt>
                <c:pt idx="11">
                  <c:v>0.26865913530704655</c:v>
                </c:pt>
                <c:pt idx="12">
                  <c:v>-0.20149435148028491</c:v>
                </c:pt>
                <c:pt idx="13">
                  <c:v>0.40298870296056982</c:v>
                </c:pt>
                <c:pt idx="14">
                  <c:v>1.6119548118422793</c:v>
                </c:pt>
                <c:pt idx="15">
                  <c:v>1.5447900280155178</c:v>
                </c:pt>
                <c:pt idx="16">
                  <c:v>1.6119548118422793</c:v>
                </c:pt>
                <c:pt idx="17">
                  <c:v>1.4776252441887558</c:v>
                </c:pt>
                <c:pt idx="18">
                  <c:v>1.2089661088817094</c:v>
                </c:pt>
                <c:pt idx="19">
                  <c:v>0.80597740592113964</c:v>
                </c:pt>
                <c:pt idx="20">
                  <c:v>-0.40298870296056982</c:v>
                </c:pt>
                <c:pt idx="21">
                  <c:v>0.60448305444085471</c:v>
                </c:pt>
                <c:pt idx="22">
                  <c:v>0.80597740592113964</c:v>
                </c:pt>
                <c:pt idx="23">
                  <c:v>0.73881262209437792</c:v>
                </c:pt>
                <c:pt idx="24">
                  <c:v>0.60448305444085471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5-4848-9A64-CAA625D61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32688"/>
        <c:axId val="30773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Sheet1!$C$5:$C$6</c15:sqref>
                        </c15:formulaRef>
                      </c:ext>
                    </c:extLst>
                    <c:strCache>
                      <c:ptCount val="2"/>
                      <c:pt idx="0">
                        <c:v>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585-4848-9A64-CAA625D61121}"/>
                  </c:ext>
                </c:extLst>
              </c15:ser>
            </c15:filteredLineSeries>
          </c:ext>
        </c:extLst>
      </c:lineChart>
      <c:catAx>
        <c:axId val="3077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4128"/>
        <c:crosses val="autoZero"/>
        <c:auto val="1"/>
        <c:lblAlgn val="ctr"/>
        <c:lblOffset val="100"/>
        <c:noMultiLvlLbl val="0"/>
      </c:catAx>
      <c:valAx>
        <c:axId val="30773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@30Hz 10˚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'30Hz'!$K$6</c:f>
              <c:strCache>
                <c:ptCount val="1"/>
                <c:pt idx="0">
                  <c:v>10deg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'30Hz'!$K$7:$K$31</c:f>
              <c:numCache>
                <c:formatCode>0.000</c:formatCode>
                <c:ptCount val="25"/>
                <c:pt idx="0">
                  <c:v>0.80597740592113964</c:v>
                </c:pt>
                <c:pt idx="1">
                  <c:v>0.5373182706140931</c:v>
                </c:pt>
                <c:pt idx="2">
                  <c:v>0.67164783826761643</c:v>
                </c:pt>
                <c:pt idx="3">
                  <c:v>0.67164783826761643</c:v>
                </c:pt>
                <c:pt idx="4">
                  <c:v>0.60448305444085471</c:v>
                </c:pt>
                <c:pt idx="5">
                  <c:v>0.5373182706140931</c:v>
                </c:pt>
                <c:pt idx="6">
                  <c:v>0.47015348678733143</c:v>
                </c:pt>
                <c:pt idx="7">
                  <c:v>0.40298870296056982</c:v>
                </c:pt>
                <c:pt idx="8">
                  <c:v>0.33582391913380821</c:v>
                </c:pt>
                <c:pt idx="9">
                  <c:v>0.40298870296056982</c:v>
                </c:pt>
                <c:pt idx="10">
                  <c:v>-0.26865913530704655</c:v>
                </c:pt>
                <c:pt idx="11">
                  <c:v>-0.33582391913380821</c:v>
                </c:pt>
                <c:pt idx="12">
                  <c:v>6.7164783826761637E-2</c:v>
                </c:pt>
                <c:pt idx="13">
                  <c:v>3.2910744075113203</c:v>
                </c:pt>
                <c:pt idx="14">
                  <c:v>2.8880857045507504</c:v>
                </c:pt>
                <c:pt idx="15">
                  <c:v>1.8134491633225642</c:v>
                </c:pt>
                <c:pt idx="16">
                  <c:v>1.5447900280155178</c:v>
                </c:pt>
                <c:pt idx="17">
                  <c:v>1.2761308927084711</c:v>
                </c:pt>
                <c:pt idx="18">
                  <c:v>1.1418013250549477</c:v>
                </c:pt>
                <c:pt idx="19">
                  <c:v>0.67164783826761643</c:v>
                </c:pt>
                <c:pt idx="20">
                  <c:v>-0.33582391913380821</c:v>
                </c:pt>
                <c:pt idx="21">
                  <c:v>0.73881262209437792</c:v>
                </c:pt>
                <c:pt idx="22">
                  <c:v>0.67164783826761643</c:v>
                </c:pt>
                <c:pt idx="23">
                  <c:v>0.73881262209437792</c:v>
                </c:pt>
                <c:pt idx="24">
                  <c:v>0.67164783826761643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1C-48DD-9CD2-A16D16496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32688"/>
        <c:axId val="30773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Sheet1!$C$5:$C$6</c15:sqref>
                        </c15:formulaRef>
                      </c:ext>
                    </c:extLst>
                    <c:strCache>
                      <c:ptCount val="2"/>
                      <c:pt idx="0">
                        <c:v>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1C-48DD-9CD2-A16D164965E8}"/>
                  </c:ext>
                </c:extLst>
              </c15:ser>
            </c15:filteredLineSeries>
          </c:ext>
        </c:extLst>
      </c:lineChart>
      <c:catAx>
        <c:axId val="3077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4128"/>
        <c:crosses val="autoZero"/>
        <c:auto val="1"/>
        <c:lblAlgn val="ctr"/>
        <c:lblOffset val="100"/>
        <c:noMultiLvlLbl val="0"/>
      </c:catAx>
      <c:valAx>
        <c:axId val="30773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@30Hz 15˚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'30Hz'!$L$6</c:f>
              <c:strCache>
                <c:ptCount val="1"/>
                <c:pt idx="0">
                  <c:v>15deg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'30Hz'!$L$7:$L$31</c:f>
              <c:numCache>
                <c:formatCode>0.000</c:formatCode>
                <c:ptCount val="25"/>
                <c:pt idx="0">
                  <c:v>1.0074717574014245</c:v>
                </c:pt>
                <c:pt idx="1">
                  <c:v>0.5373182706140931</c:v>
                </c:pt>
                <c:pt idx="2">
                  <c:v>0.60448305444085471</c:v>
                </c:pt>
                <c:pt idx="3">
                  <c:v>0.60448305444085471</c:v>
                </c:pt>
                <c:pt idx="4">
                  <c:v>0.5373182706140931</c:v>
                </c:pt>
                <c:pt idx="5">
                  <c:v>0.40298870296056982</c:v>
                </c:pt>
                <c:pt idx="6">
                  <c:v>0.33582391913380821</c:v>
                </c:pt>
                <c:pt idx="7">
                  <c:v>0.26865913530704655</c:v>
                </c:pt>
                <c:pt idx="8">
                  <c:v>0.13432956765352327</c:v>
                </c:pt>
                <c:pt idx="9">
                  <c:v>-0.13432956765352327</c:v>
                </c:pt>
                <c:pt idx="10">
                  <c:v>-0.13432956765352327</c:v>
                </c:pt>
                <c:pt idx="11">
                  <c:v>-0.20149435148028491</c:v>
                </c:pt>
                <c:pt idx="12">
                  <c:v>0.33582391913380821</c:v>
                </c:pt>
                <c:pt idx="13">
                  <c:v>0.26865913530704655</c:v>
                </c:pt>
                <c:pt idx="14">
                  <c:v>0.20149435148028491</c:v>
                </c:pt>
                <c:pt idx="15">
                  <c:v>0.20149435148028491</c:v>
                </c:pt>
                <c:pt idx="16">
                  <c:v>0.13432956765352327</c:v>
                </c:pt>
                <c:pt idx="17">
                  <c:v>0.20149435148028491</c:v>
                </c:pt>
                <c:pt idx="18">
                  <c:v>0.47015348678733143</c:v>
                </c:pt>
                <c:pt idx="19">
                  <c:v>-0.33582391913380821</c:v>
                </c:pt>
                <c:pt idx="20">
                  <c:v>1.4776252441887558</c:v>
                </c:pt>
                <c:pt idx="21">
                  <c:v>1.3432956765352329</c:v>
                </c:pt>
                <c:pt idx="22">
                  <c:v>1.2761308927084711</c:v>
                </c:pt>
                <c:pt idx="23">
                  <c:v>1.4104604603619944</c:v>
                </c:pt>
                <c:pt idx="24">
                  <c:v>1.0746365412281862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37-4ADF-A24D-071893850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32688"/>
        <c:axId val="307734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Sheet1!$C$5:$C$6</c15:sqref>
                        </c15:formulaRef>
                      </c:ext>
                    </c:extLst>
                    <c:strCache>
                      <c:ptCount val="2"/>
                      <c:pt idx="0">
                        <c:v>Section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937-4ADF-A24D-071893850AAB}"/>
                  </c:ext>
                </c:extLst>
              </c15:ser>
            </c15:filteredLineSeries>
          </c:ext>
        </c:extLst>
      </c:lineChart>
      <c:catAx>
        <c:axId val="30773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4128"/>
        <c:crosses val="autoZero"/>
        <c:auto val="1"/>
        <c:lblAlgn val="ctr"/>
        <c:lblOffset val="100"/>
        <c:noMultiLvlLbl val="0"/>
      </c:catAx>
      <c:valAx>
        <c:axId val="307734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∆H @30Hz</a:t>
            </a:r>
            <a:r>
              <a:rPr lang="en-US" baseline="0"/>
              <a:t> 5˚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'30Hz'!$E$6</c:f>
              <c:strCache>
                <c:ptCount val="1"/>
                <c:pt idx="0">
                  <c:v>5deg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'30Hz'!$E$7:$E$31</c:f>
              <c:numCache>
                <c:formatCode>General</c:formatCode>
                <c:ptCount val="25"/>
                <c:pt idx="0">
                  <c:v>12</c:v>
                </c:pt>
                <c:pt idx="1">
                  <c:v>8</c:v>
                </c:pt>
                <c:pt idx="2">
                  <c:v>11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  <c:pt idx="12">
                  <c:v>-3</c:v>
                </c:pt>
                <c:pt idx="13">
                  <c:v>6</c:v>
                </c:pt>
                <c:pt idx="14">
                  <c:v>24</c:v>
                </c:pt>
                <c:pt idx="15">
                  <c:v>23</c:v>
                </c:pt>
                <c:pt idx="16">
                  <c:v>24</c:v>
                </c:pt>
                <c:pt idx="17">
                  <c:v>22</c:v>
                </c:pt>
                <c:pt idx="18">
                  <c:v>18</c:v>
                </c:pt>
                <c:pt idx="19">
                  <c:v>12</c:v>
                </c:pt>
                <c:pt idx="20">
                  <c:v>-6</c:v>
                </c:pt>
                <c:pt idx="21">
                  <c:v>9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4-4577-A3D6-88D08B4BDD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645408"/>
        <c:axId val="125646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A34-4577-A3D6-88D08B4BDDCC}"/>
                  </c:ext>
                </c:extLst>
              </c15:ser>
            </c15:filteredBarSeries>
          </c:ext>
        </c:extLst>
      </c:barChart>
      <c:catAx>
        <c:axId val="1256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6368"/>
        <c:crosses val="autoZero"/>
        <c:auto val="1"/>
        <c:lblAlgn val="ctr"/>
        <c:lblOffset val="100"/>
        <c:noMultiLvlLbl val="0"/>
      </c:catAx>
      <c:valAx>
        <c:axId val="12564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∆H @30Hz</a:t>
            </a:r>
            <a:r>
              <a:rPr lang="en-US" baseline="0"/>
              <a:t> 10˚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'30Hz'!$F$6</c:f>
              <c:strCache>
                <c:ptCount val="1"/>
                <c:pt idx="0">
                  <c:v>10deg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'30Hz'!$F$7:$F$31</c:f>
              <c:numCache>
                <c:formatCode>General</c:formatCode>
                <c:ptCount val="25"/>
                <c:pt idx="0">
                  <c:v>12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-4</c:v>
                </c:pt>
                <c:pt idx="11">
                  <c:v>-5</c:v>
                </c:pt>
                <c:pt idx="12">
                  <c:v>1</c:v>
                </c:pt>
                <c:pt idx="13">
                  <c:v>49</c:v>
                </c:pt>
                <c:pt idx="14">
                  <c:v>43</c:v>
                </c:pt>
                <c:pt idx="15">
                  <c:v>27</c:v>
                </c:pt>
                <c:pt idx="16">
                  <c:v>23</c:v>
                </c:pt>
                <c:pt idx="17">
                  <c:v>19</c:v>
                </c:pt>
                <c:pt idx="18">
                  <c:v>17</c:v>
                </c:pt>
                <c:pt idx="19">
                  <c:v>10</c:v>
                </c:pt>
                <c:pt idx="20">
                  <c:v>-5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C7-4C9E-81FF-6CFBE6FB29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645408"/>
        <c:axId val="125646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4C7-4C9E-81FF-6CFBE6FB290D}"/>
                  </c:ext>
                </c:extLst>
              </c15:ser>
            </c15:filteredBarSeries>
          </c:ext>
        </c:extLst>
      </c:barChart>
      <c:catAx>
        <c:axId val="1256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6368"/>
        <c:crosses val="autoZero"/>
        <c:auto val="1"/>
        <c:lblAlgn val="ctr"/>
        <c:lblOffset val="100"/>
        <c:noMultiLvlLbl val="0"/>
      </c:catAx>
      <c:valAx>
        <c:axId val="12564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∆H @30Hz</a:t>
            </a:r>
            <a:r>
              <a:rPr lang="en-US" baseline="0"/>
              <a:t> 15˚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'30Hz'!$G$6</c:f>
              <c:strCache>
                <c:ptCount val="1"/>
                <c:pt idx="0">
                  <c:v>15deg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'30Hz'!$G$7:$G$31</c:f>
              <c:numCache>
                <c:formatCode>General</c:formatCode>
                <c:ptCount val="25"/>
                <c:pt idx="0">
                  <c:v>15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-2</c:v>
                </c:pt>
                <c:pt idx="10">
                  <c:v>-2</c:v>
                </c:pt>
                <c:pt idx="11">
                  <c:v>-3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7</c:v>
                </c:pt>
                <c:pt idx="19">
                  <c:v>-5</c:v>
                </c:pt>
                <c:pt idx="20">
                  <c:v>22</c:v>
                </c:pt>
                <c:pt idx="21">
                  <c:v>20</c:v>
                </c:pt>
                <c:pt idx="22">
                  <c:v>19</c:v>
                </c:pt>
                <c:pt idx="23">
                  <c:v>21</c:v>
                </c:pt>
                <c:pt idx="2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F-4DD0-A080-A8EC276090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5645408"/>
        <c:axId val="125646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Section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Sheet1!$C$7:$C$31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DF-4DD0-A080-A8EC276090E7}"/>
                  </c:ext>
                </c:extLst>
              </c15:ser>
            </c15:filteredBarSeries>
          </c:ext>
        </c:extLst>
      </c:barChart>
      <c:catAx>
        <c:axId val="12564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No Manometer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46368"/>
        <c:crosses val="autoZero"/>
        <c:auto val="1"/>
        <c:lblAlgn val="ctr"/>
        <c:lblOffset val="100"/>
        <c:noMultiLvlLbl val="0"/>
      </c:catAx>
      <c:valAx>
        <c:axId val="12564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1</xdr:row>
      <xdr:rowOff>138112</xdr:rowOff>
    </xdr:from>
    <xdr:to>
      <xdr:col>20</xdr:col>
      <xdr:colOff>266700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3EF5B-6178-F0E4-FF4F-81E849055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595312</xdr:colOff>
      <xdr:row>17</xdr:row>
      <xdr:rowOff>90487</xdr:rowOff>
    </xdr:from>
    <xdr:to>
      <xdr:col>20</xdr:col>
      <xdr:colOff>290512</xdr:colOff>
      <xdr:row>31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5DCD7B-4168-158D-1D0C-676B568E5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457200</xdr:colOff>
      <xdr:row>1</xdr:row>
      <xdr:rowOff>114300</xdr:rowOff>
    </xdr:from>
    <xdr:to>
      <xdr:col>28</xdr:col>
      <xdr:colOff>152400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66DB8F-295A-48A6-BF04-D668FD63E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428625</xdr:colOff>
      <xdr:row>1</xdr:row>
      <xdr:rowOff>114300</xdr:rowOff>
    </xdr:from>
    <xdr:to>
      <xdr:col>36</xdr:col>
      <xdr:colOff>123825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A3528B-479E-48B2-BD97-21EB4F2EB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514350</xdr:colOff>
      <xdr:row>1</xdr:row>
      <xdr:rowOff>114300</xdr:rowOff>
    </xdr:from>
    <xdr:to>
      <xdr:col>44</xdr:col>
      <xdr:colOff>209550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80433B-E594-4092-96B2-3EBCE7E96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561975</xdr:colOff>
      <xdr:row>17</xdr:row>
      <xdr:rowOff>95250</xdr:rowOff>
    </xdr:from>
    <xdr:to>
      <xdr:col>28</xdr:col>
      <xdr:colOff>257175</xdr:colOff>
      <xdr:row>31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744A3F-64C0-4013-BBF5-B9BE226AA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495300</xdr:colOff>
      <xdr:row>17</xdr:row>
      <xdr:rowOff>104775</xdr:rowOff>
    </xdr:from>
    <xdr:to>
      <xdr:col>36</xdr:col>
      <xdr:colOff>190500</xdr:colOff>
      <xdr:row>31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4FF741-0AE3-405F-B3C1-B7DD9A1D3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590550</xdr:colOff>
      <xdr:row>17</xdr:row>
      <xdr:rowOff>104775</xdr:rowOff>
    </xdr:from>
    <xdr:to>
      <xdr:col>44</xdr:col>
      <xdr:colOff>285750</xdr:colOff>
      <xdr:row>31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9623F3-1A73-4ACA-A06C-C41949271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295275</xdr:colOff>
      <xdr:row>3</xdr:row>
      <xdr:rowOff>4762</xdr:rowOff>
    </xdr:from>
    <xdr:to>
      <xdr:col>20</xdr:col>
      <xdr:colOff>600075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E7862-C679-4F7B-BD65-BD4112C32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319087</xdr:colOff>
      <xdr:row>18</xdr:row>
      <xdr:rowOff>147637</xdr:rowOff>
    </xdr:from>
    <xdr:to>
      <xdr:col>21</xdr:col>
      <xdr:colOff>14287</xdr:colOff>
      <xdr:row>33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E71DB-A3BD-4E2A-A72B-ECAA5AD83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180975</xdr:colOff>
      <xdr:row>2</xdr:row>
      <xdr:rowOff>171450</xdr:rowOff>
    </xdr:from>
    <xdr:to>
      <xdr:col>28</xdr:col>
      <xdr:colOff>485775</xdr:colOff>
      <xdr:row>17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C3AD45-1710-4A0D-B90E-00A1183B1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152400</xdr:colOff>
      <xdr:row>2</xdr:row>
      <xdr:rowOff>171450</xdr:rowOff>
    </xdr:from>
    <xdr:to>
      <xdr:col>36</xdr:col>
      <xdr:colOff>457200</xdr:colOff>
      <xdr:row>17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B2D4DF-BFEF-4183-B0E2-73AEBA342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238125</xdr:colOff>
      <xdr:row>2</xdr:row>
      <xdr:rowOff>171450</xdr:rowOff>
    </xdr:from>
    <xdr:to>
      <xdr:col>44</xdr:col>
      <xdr:colOff>542925</xdr:colOff>
      <xdr:row>17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01F0A6-4321-4E28-8194-C111AC13D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285750</xdr:colOff>
      <xdr:row>18</xdr:row>
      <xdr:rowOff>152400</xdr:rowOff>
    </xdr:from>
    <xdr:to>
      <xdr:col>28</xdr:col>
      <xdr:colOff>590550</xdr:colOff>
      <xdr:row>33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E5BA5D-54F7-4343-A026-D799BCA05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219075</xdr:colOff>
      <xdr:row>18</xdr:row>
      <xdr:rowOff>161925</xdr:rowOff>
    </xdr:from>
    <xdr:to>
      <xdr:col>36</xdr:col>
      <xdr:colOff>523875</xdr:colOff>
      <xdr:row>33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5246A5-3522-4DE8-AA20-850B6B13B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314325</xdr:colOff>
      <xdr:row>18</xdr:row>
      <xdr:rowOff>161925</xdr:rowOff>
    </xdr:from>
    <xdr:to>
      <xdr:col>45</xdr:col>
      <xdr:colOff>9525</xdr:colOff>
      <xdr:row>33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A19C48-124C-4A76-B9CE-C0FCC566F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E45B-2E7D-4D9A-8094-382CDF5996F2}">
  <dimension ref="C5:L38"/>
  <sheetViews>
    <sheetView topLeftCell="AB4" workbookViewId="0">
      <selection activeCell="M18" sqref="M18"/>
    </sheetView>
  </sheetViews>
  <sheetFormatPr defaultRowHeight="15" x14ac:dyDescent="0.25"/>
  <sheetData>
    <row r="5" spans="3:12" x14ac:dyDescent="0.25">
      <c r="C5" t="s">
        <v>0</v>
      </c>
      <c r="D5" t="s">
        <v>1</v>
      </c>
      <c r="I5" t="s">
        <v>9</v>
      </c>
    </row>
    <row r="6" spans="3:12" x14ac:dyDescent="0.25">
      <c r="D6" t="s">
        <v>2</v>
      </c>
      <c r="E6" t="s">
        <v>3</v>
      </c>
      <c r="F6" t="s">
        <v>4</v>
      </c>
      <c r="G6" t="s">
        <v>5</v>
      </c>
      <c r="I6" t="s">
        <v>2</v>
      </c>
      <c r="J6" t="s">
        <v>3</v>
      </c>
      <c r="K6" t="s">
        <v>4</v>
      </c>
      <c r="L6" t="s">
        <v>5</v>
      </c>
    </row>
    <row r="7" spans="3:12" x14ac:dyDescent="0.25">
      <c r="C7">
        <v>1</v>
      </c>
      <c r="D7">
        <v>5</v>
      </c>
      <c r="E7">
        <v>6</v>
      </c>
      <c r="F7">
        <v>6</v>
      </c>
      <c r="G7">
        <v>8</v>
      </c>
      <c r="I7">
        <f>$D$38*D7*0.001</f>
        <v>0.85910639388691679</v>
      </c>
      <c r="J7">
        <f t="shared" ref="J7:L22" si="0">$D$38*E7*0.001</f>
        <v>1.0309276726643002</v>
      </c>
      <c r="K7">
        <f t="shared" si="0"/>
        <v>1.0309276726643002</v>
      </c>
      <c r="L7">
        <f t="shared" si="0"/>
        <v>1.3745702302190668</v>
      </c>
    </row>
    <row r="8" spans="3:12" x14ac:dyDescent="0.25">
      <c r="C8">
        <v>2</v>
      </c>
      <c r="D8">
        <v>4</v>
      </c>
      <c r="E8">
        <v>3</v>
      </c>
      <c r="F8">
        <v>3</v>
      </c>
      <c r="G8">
        <v>5</v>
      </c>
      <c r="I8">
        <f t="shared" ref="I8:I31" si="1">$D$38*D8*0.001</f>
        <v>0.68728511510953338</v>
      </c>
      <c r="J8">
        <f t="shared" si="0"/>
        <v>0.51546383633215009</v>
      </c>
      <c r="K8">
        <f t="shared" si="0"/>
        <v>0.51546383633215009</v>
      </c>
      <c r="L8">
        <f t="shared" si="0"/>
        <v>0.85910639388691679</v>
      </c>
    </row>
    <row r="9" spans="3:12" x14ac:dyDescent="0.25">
      <c r="C9">
        <v>3</v>
      </c>
      <c r="D9">
        <v>5</v>
      </c>
      <c r="E9">
        <v>5</v>
      </c>
      <c r="F9">
        <v>5</v>
      </c>
      <c r="G9">
        <v>6</v>
      </c>
      <c r="I9">
        <f t="shared" si="1"/>
        <v>0.85910639388691679</v>
      </c>
      <c r="J9">
        <f t="shared" si="0"/>
        <v>0.85910639388691679</v>
      </c>
      <c r="K9">
        <f t="shared" si="0"/>
        <v>0.85910639388691679</v>
      </c>
      <c r="L9">
        <f t="shared" si="0"/>
        <v>1.0309276726643002</v>
      </c>
    </row>
    <row r="10" spans="3:12" x14ac:dyDescent="0.25">
      <c r="C10">
        <v>4</v>
      </c>
      <c r="D10">
        <v>6</v>
      </c>
      <c r="E10">
        <v>6</v>
      </c>
      <c r="F10">
        <v>5</v>
      </c>
      <c r="G10">
        <v>6</v>
      </c>
      <c r="I10">
        <f t="shared" si="1"/>
        <v>1.0309276726643002</v>
      </c>
      <c r="J10">
        <f t="shared" si="0"/>
        <v>1.0309276726643002</v>
      </c>
      <c r="K10">
        <f t="shared" si="0"/>
        <v>0.85910639388691679</v>
      </c>
      <c r="L10">
        <f t="shared" si="0"/>
        <v>1.0309276726643002</v>
      </c>
    </row>
    <row r="11" spans="3:12" x14ac:dyDescent="0.25">
      <c r="C11">
        <v>5</v>
      </c>
      <c r="D11">
        <v>8</v>
      </c>
      <c r="E11">
        <v>7</v>
      </c>
      <c r="F11">
        <v>6</v>
      </c>
      <c r="G11">
        <v>5</v>
      </c>
      <c r="I11">
        <f t="shared" si="1"/>
        <v>1.3745702302190668</v>
      </c>
      <c r="J11">
        <f t="shared" si="0"/>
        <v>1.2027489514416834</v>
      </c>
      <c r="K11">
        <f t="shared" si="0"/>
        <v>1.0309276726643002</v>
      </c>
      <c r="L11">
        <f t="shared" si="0"/>
        <v>0.85910639388691679</v>
      </c>
    </row>
    <row r="12" spans="3:12" x14ac:dyDescent="0.25">
      <c r="C12">
        <v>6</v>
      </c>
      <c r="D12">
        <v>8</v>
      </c>
      <c r="E12">
        <v>6</v>
      </c>
      <c r="F12">
        <v>5</v>
      </c>
      <c r="G12">
        <v>4</v>
      </c>
      <c r="I12">
        <f t="shared" si="1"/>
        <v>1.3745702302190668</v>
      </c>
      <c r="J12">
        <f t="shared" si="0"/>
        <v>1.0309276726643002</v>
      </c>
      <c r="K12">
        <f t="shared" si="0"/>
        <v>0.85910639388691679</v>
      </c>
      <c r="L12">
        <f t="shared" si="0"/>
        <v>0.68728511510953338</v>
      </c>
    </row>
    <row r="13" spans="3:12" x14ac:dyDescent="0.25">
      <c r="C13">
        <v>7</v>
      </c>
      <c r="D13">
        <v>10</v>
      </c>
      <c r="E13">
        <v>6</v>
      </c>
      <c r="F13">
        <v>4</v>
      </c>
      <c r="G13">
        <v>3</v>
      </c>
      <c r="I13">
        <f t="shared" si="1"/>
        <v>1.7182127877738336</v>
      </c>
      <c r="J13">
        <f t="shared" si="0"/>
        <v>1.0309276726643002</v>
      </c>
      <c r="K13">
        <f t="shared" si="0"/>
        <v>0.68728511510953338</v>
      </c>
      <c r="L13">
        <f t="shared" si="0"/>
        <v>0.51546383633215009</v>
      </c>
    </row>
    <row r="14" spans="3:12" x14ac:dyDescent="0.25">
      <c r="C14">
        <v>8</v>
      </c>
      <c r="D14">
        <v>9</v>
      </c>
      <c r="E14">
        <v>6</v>
      </c>
      <c r="F14">
        <v>4</v>
      </c>
      <c r="G14">
        <v>2</v>
      </c>
      <c r="I14">
        <f t="shared" si="1"/>
        <v>1.5463915089964504</v>
      </c>
      <c r="J14">
        <f t="shared" si="0"/>
        <v>1.0309276726643002</v>
      </c>
      <c r="K14">
        <f t="shared" si="0"/>
        <v>0.68728511510953338</v>
      </c>
      <c r="L14">
        <f t="shared" si="0"/>
        <v>0.34364255755476669</v>
      </c>
    </row>
    <row r="15" spans="3:12" x14ac:dyDescent="0.25">
      <c r="C15">
        <v>9</v>
      </c>
      <c r="D15">
        <v>10</v>
      </c>
      <c r="E15">
        <v>7</v>
      </c>
      <c r="F15">
        <v>3</v>
      </c>
      <c r="G15">
        <v>2</v>
      </c>
      <c r="I15">
        <f t="shared" si="1"/>
        <v>1.7182127877738336</v>
      </c>
      <c r="J15">
        <f t="shared" si="0"/>
        <v>1.2027489514416834</v>
      </c>
      <c r="K15">
        <f t="shared" si="0"/>
        <v>0.51546383633215009</v>
      </c>
      <c r="L15">
        <f t="shared" si="0"/>
        <v>0.34364255755476669</v>
      </c>
    </row>
    <row r="16" spans="3:12" x14ac:dyDescent="0.25">
      <c r="C16">
        <v>10</v>
      </c>
      <c r="D16">
        <v>8</v>
      </c>
      <c r="E16">
        <v>5</v>
      </c>
      <c r="F16">
        <v>1</v>
      </c>
      <c r="G16">
        <v>0</v>
      </c>
      <c r="I16">
        <f t="shared" si="1"/>
        <v>1.3745702302190668</v>
      </c>
      <c r="J16">
        <f t="shared" si="0"/>
        <v>0.85910639388691679</v>
      </c>
      <c r="K16">
        <f t="shared" si="0"/>
        <v>0.17182127877738335</v>
      </c>
      <c r="L16">
        <f t="shared" si="0"/>
        <v>0</v>
      </c>
    </row>
    <row r="17" spans="3:12" x14ac:dyDescent="0.25">
      <c r="C17">
        <v>11</v>
      </c>
      <c r="D17">
        <v>9</v>
      </c>
      <c r="E17">
        <v>4</v>
      </c>
      <c r="F17">
        <v>1</v>
      </c>
      <c r="G17">
        <v>0</v>
      </c>
      <c r="I17">
        <f t="shared" si="1"/>
        <v>1.5463915089964504</v>
      </c>
      <c r="J17">
        <f t="shared" si="0"/>
        <v>0.68728511510953338</v>
      </c>
      <c r="K17">
        <f t="shared" si="0"/>
        <v>0.17182127877738335</v>
      </c>
      <c r="L17">
        <f t="shared" si="0"/>
        <v>0</v>
      </c>
    </row>
    <row r="18" spans="3:12" x14ac:dyDescent="0.25">
      <c r="C18">
        <v>12</v>
      </c>
      <c r="D18">
        <v>8</v>
      </c>
      <c r="E18">
        <v>2</v>
      </c>
      <c r="F18">
        <v>-1</v>
      </c>
      <c r="G18">
        <v>0</v>
      </c>
      <c r="I18">
        <f t="shared" si="1"/>
        <v>1.3745702302190668</v>
      </c>
      <c r="J18">
        <f t="shared" si="0"/>
        <v>0.34364255755476669</v>
      </c>
      <c r="K18">
        <f t="shared" si="0"/>
        <v>-0.17182127877738335</v>
      </c>
      <c r="L18">
        <f t="shared" si="0"/>
        <v>0</v>
      </c>
    </row>
    <row r="19" spans="3:12" x14ac:dyDescent="0.25">
      <c r="C19">
        <v>13</v>
      </c>
      <c r="D19">
        <v>4</v>
      </c>
      <c r="E19">
        <v>-1</v>
      </c>
      <c r="F19">
        <v>1</v>
      </c>
      <c r="G19">
        <v>2</v>
      </c>
      <c r="I19">
        <f t="shared" si="1"/>
        <v>0.68728511510953338</v>
      </c>
      <c r="J19">
        <f t="shared" si="0"/>
        <v>-0.17182127877738335</v>
      </c>
      <c r="K19">
        <f t="shared" si="0"/>
        <v>0.17182127877738335</v>
      </c>
      <c r="L19">
        <f t="shared" si="0"/>
        <v>0.34364255755476669</v>
      </c>
    </row>
    <row r="20" spans="3:12" x14ac:dyDescent="0.25">
      <c r="C20">
        <v>14</v>
      </c>
      <c r="D20">
        <v>0</v>
      </c>
      <c r="E20">
        <v>7</v>
      </c>
      <c r="F20">
        <v>2</v>
      </c>
      <c r="G20">
        <v>10</v>
      </c>
      <c r="I20">
        <f t="shared" si="1"/>
        <v>0</v>
      </c>
      <c r="J20">
        <f t="shared" si="0"/>
        <v>1.2027489514416834</v>
      </c>
      <c r="K20">
        <f t="shared" si="0"/>
        <v>0.34364255755476669</v>
      </c>
      <c r="L20">
        <f t="shared" si="0"/>
        <v>1.7182127877738336</v>
      </c>
    </row>
    <row r="21" spans="3:12" x14ac:dyDescent="0.25">
      <c r="C21">
        <v>15</v>
      </c>
      <c r="D21">
        <v>4</v>
      </c>
      <c r="E21">
        <v>10</v>
      </c>
      <c r="F21">
        <v>19</v>
      </c>
      <c r="G21">
        <v>9</v>
      </c>
      <c r="I21">
        <f t="shared" si="1"/>
        <v>0.68728511510953338</v>
      </c>
      <c r="J21">
        <f t="shared" si="0"/>
        <v>1.7182127877738336</v>
      </c>
      <c r="K21">
        <f t="shared" si="0"/>
        <v>3.2646042967702837</v>
      </c>
      <c r="L21">
        <f t="shared" si="0"/>
        <v>1.5463915089964504</v>
      </c>
    </row>
    <row r="22" spans="3:12" x14ac:dyDescent="0.25">
      <c r="C22">
        <v>16</v>
      </c>
      <c r="D22">
        <v>6</v>
      </c>
      <c r="E22">
        <v>11</v>
      </c>
      <c r="F22">
        <v>15</v>
      </c>
      <c r="G22">
        <v>9</v>
      </c>
      <c r="I22">
        <f t="shared" si="1"/>
        <v>1.0309276726643002</v>
      </c>
      <c r="J22">
        <f t="shared" si="0"/>
        <v>1.890034066551217</v>
      </c>
      <c r="K22">
        <f t="shared" si="0"/>
        <v>2.5773191816607506</v>
      </c>
      <c r="L22">
        <f t="shared" si="0"/>
        <v>1.5463915089964504</v>
      </c>
    </row>
    <row r="23" spans="3:12" x14ac:dyDescent="0.25">
      <c r="C23">
        <v>17</v>
      </c>
      <c r="D23">
        <v>7</v>
      </c>
      <c r="E23">
        <v>11</v>
      </c>
      <c r="F23">
        <v>12</v>
      </c>
      <c r="G23">
        <v>9</v>
      </c>
      <c r="I23">
        <f t="shared" si="1"/>
        <v>1.2027489514416834</v>
      </c>
      <c r="J23">
        <f t="shared" ref="J23:J31" si="2">$D$38*E23*0.001</f>
        <v>1.890034066551217</v>
      </c>
      <c r="K23">
        <f t="shared" ref="K23:K31" si="3">$D$38*F23*0.001</f>
        <v>2.0618553453286004</v>
      </c>
      <c r="L23">
        <f t="shared" ref="L23:L31" si="4">$D$38*G23*0.001</f>
        <v>1.5463915089964504</v>
      </c>
    </row>
    <row r="24" spans="3:12" x14ac:dyDescent="0.25">
      <c r="C24">
        <v>18</v>
      </c>
      <c r="D24">
        <v>6</v>
      </c>
      <c r="E24">
        <v>11</v>
      </c>
      <c r="F24">
        <v>10</v>
      </c>
      <c r="G24">
        <v>9</v>
      </c>
      <c r="I24">
        <f t="shared" si="1"/>
        <v>1.0309276726643002</v>
      </c>
      <c r="J24">
        <f t="shared" si="2"/>
        <v>1.890034066551217</v>
      </c>
      <c r="K24">
        <f t="shared" si="3"/>
        <v>1.7182127877738336</v>
      </c>
      <c r="L24">
        <f t="shared" si="4"/>
        <v>1.5463915089964504</v>
      </c>
    </row>
    <row r="25" spans="3:12" x14ac:dyDescent="0.25">
      <c r="C25">
        <v>19</v>
      </c>
      <c r="D25">
        <v>6</v>
      </c>
      <c r="E25">
        <v>10</v>
      </c>
      <c r="F25">
        <v>9</v>
      </c>
      <c r="G25">
        <v>9</v>
      </c>
      <c r="I25">
        <f t="shared" si="1"/>
        <v>1.0309276726643002</v>
      </c>
      <c r="J25">
        <f t="shared" si="2"/>
        <v>1.7182127877738336</v>
      </c>
      <c r="K25">
        <f t="shared" si="3"/>
        <v>1.5463915089964504</v>
      </c>
      <c r="L25">
        <f t="shared" si="4"/>
        <v>1.5463915089964504</v>
      </c>
    </row>
    <row r="26" spans="3:12" x14ac:dyDescent="0.25">
      <c r="C26">
        <v>20</v>
      </c>
      <c r="D26">
        <v>5</v>
      </c>
      <c r="E26">
        <v>6</v>
      </c>
      <c r="F26">
        <v>6</v>
      </c>
      <c r="G26">
        <v>7</v>
      </c>
      <c r="I26">
        <f t="shared" si="1"/>
        <v>0.85910639388691679</v>
      </c>
      <c r="J26">
        <f t="shared" si="2"/>
        <v>1.0309276726643002</v>
      </c>
      <c r="K26">
        <f t="shared" si="3"/>
        <v>1.0309276726643002</v>
      </c>
      <c r="L26">
        <f t="shared" si="4"/>
        <v>1.2027489514416834</v>
      </c>
    </row>
    <row r="27" spans="3:12" x14ac:dyDescent="0.25">
      <c r="C27">
        <v>21</v>
      </c>
      <c r="D27">
        <v>-2</v>
      </c>
      <c r="E27">
        <v>-1</v>
      </c>
      <c r="F27">
        <v>-1</v>
      </c>
      <c r="G27">
        <v>0</v>
      </c>
      <c r="I27">
        <f t="shared" si="1"/>
        <v>-0.34364255755476669</v>
      </c>
      <c r="J27">
        <f t="shared" si="2"/>
        <v>-0.17182127877738335</v>
      </c>
      <c r="K27">
        <f t="shared" si="3"/>
        <v>-0.17182127877738335</v>
      </c>
      <c r="L27">
        <f t="shared" si="4"/>
        <v>0</v>
      </c>
    </row>
    <row r="28" spans="3:12" x14ac:dyDescent="0.25">
      <c r="C28">
        <v>22</v>
      </c>
      <c r="D28">
        <v>7</v>
      </c>
      <c r="E28">
        <v>7</v>
      </c>
      <c r="F28">
        <v>7</v>
      </c>
      <c r="G28">
        <v>11</v>
      </c>
      <c r="I28">
        <f t="shared" si="1"/>
        <v>1.2027489514416834</v>
      </c>
      <c r="J28">
        <f t="shared" si="2"/>
        <v>1.2027489514416834</v>
      </c>
      <c r="K28">
        <f t="shared" si="3"/>
        <v>1.2027489514416834</v>
      </c>
      <c r="L28">
        <f t="shared" si="4"/>
        <v>1.890034066551217</v>
      </c>
    </row>
    <row r="29" spans="3:12" x14ac:dyDescent="0.25">
      <c r="C29">
        <v>23</v>
      </c>
      <c r="D29">
        <v>6</v>
      </c>
      <c r="E29">
        <v>6</v>
      </c>
      <c r="F29">
        <v>7</v>
      </c>
      <c r="G29">
        <v>10</v>
      </c>
      <c r="I29">
        <f t="shared" si="1"/>
        <v>1.0309276726643002</v>
      </c>
      <c r="J29">
        <f t="shared" si="2"/>
        <v>1.0309276726643002</v>
      </c>
      <c r="K29">
        <f t="shared" si="3"/>
        <v>1.2027489514416834</v>
      </c>
      <c r="L29">
        <f t="shared" si="4"/>
        <v>1.7182127877738336</v>
      </c>
    </row>
    <row r="30" spans="3:12" x14ac:dyDescent="0.25">
      <c r="C30">
        <v>24</v>
      </c>
      <c r="D30">
        <v>6</v>
      </c>
      <c r="E30">
        <v>6</v>
      </c>
      <c r="F30">
        <v>6</v>
      </c>
      <c r="G30">
        <v>9</v>
      </c>
      <c r="I30">
        <f t="shared" si="1"/>
        <v>1.0309276726643002</v>
      </c>
      <c r="J30">
        <f t="shared" si="2"/>
        <v>1.0309276726643002</v>
      </c>
      <c r="K30">
        <f t="shared" si="3"/>
        <v>1.0309276726643002</v>
      </c>
      <c r="L30">
        <f t="shared" si="4"/>
        <v>1.5463915089964504</v>
      </c>
    </row>
    <row r="31" spans="3:12" x14ac:dyDescent="0.25">
      <c r="C31">
        <v>25</v>
      </c>
      <c r="D31">
        <v>4</v>
      </c>
      <c r="E31">
        <v>4</v>
      </c>
      <c r="F31">
        <v>5</v>
      </c>
      <c r="G31">
        <v>9</v>
      </c>
      <c r="I31">
        <f t="shared" si="1"/>
        <v>0.68728511510953338</v>
      </c>
      <c r="J31">
        <f t="shared" si="2"/>
        <v>0.68728511510953338</v>
      </c>
      <c r="K31">
        <f t="shared" si="3"/>
        <v>0.85910639388691679</v>
      </c>
      <c r="L31">
        <f t="shared" si="4"/>
        <v>1.5463915089964504</v>
      </c>
    </row>
    <row r="35" spans="3:4" x14ac:dyDescent="0.25">
      <c r="C35" t="s">
        <v>6</v>
      </c>
      <c r="D35">
        <v>9.73</v>
      </c>
    </row>
    <row r="36" spans="3:4" x14ac:dyDescent="0.25">
      <c r="C36" t="s">
        <v>7</v>
      </c>
      <c r="D36">
        <v>1.1652</v>
      </c>
    </row>
    <row r="37" spans="3:4" x14ac:dyDescent="0.25">
      <c r="C37" t="s">
        <v>8</v>
      </c>
      <c r="D37">
        <v>966.06</v>
      </c>
    </row>
    <row r="38" spans="3:4" x14ac:dyDescent="0.25">
      <c r="C38" t="s">
        <v>10</v>
      </c>
      <c r="D38">
        <f>(D37*9.81)/(0.5*D36*D35*D35)</f>
        <v>171.82127877738336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A146-9715-417F-8E7F-05BEFA29F5A6}">
  <dimension ref="C5:L38"/>
  <sheetViews>
    <sheetView tabSelected="1" topLeftCell="X7" workbookViewId="0">
      <selection activeCell="AD11" sqref="AD11"/>
    </sheetView>
  </sheetViews>
  <sheetFormatPr defaultRowHeight="15" x14ac:dyDescent="0.25"/>
  <cols>
    <col min="9" max="12" width="10.5703125" bestFit="1" customWidth="1"/>
  </cols>
  <sheetData>
    <row r="5" spans="3:12" x14ac:dyDescent="0.25">
      <c r="C5" s="1" t="s">
        <v>0</v>
      </c>
      <c r="D5" s="2" t="s">
        <v>1</v>
      </c>
      <c r="E5" s="2"/>
      <c r="F5" s="2"/>
      <c r="G5" s="2"/>
      <c r="H5" s="1"/>
      <c r="I5" s="2" t="s">
        <v>9</v>
      </c>
      <c r="J5" s="2"/>
      <c r="K5" s="2"/>
      <c r="L5" s="2"/>
    </row>
    <row r="6" spans="3:12" x14ac:dyDescent="0.25">
      <c r="C6" s="1"/>
      <c r="D6" s="1" t="s">
        <v>2</v>
      </c>
      <c r="E6" s="1" t="s">
        <v>3</v>
      </c>
      <c r="F6" s="1" t="s">
        <v>4</v>
      </c>
      <c r="G6" s="1" t="s">
        <v>5</v>
      </c>
      <c r="H6" s="1"/>
      <c r="I6" s="1" t="s">
        <v>2</v>
      </c>
      <c r="J6" s="1" t="s">
        <v>3</v>
      </c>
      <c r="K6" s="1" t="s">
        <v>4</v>
      </c>
      <c r="L6" s="1" t="s">
        <v>5</v>
      </c>
    </row>
    <row r="7" spans="3:12" x14ac:dyDescent="0.25">
      <c r="C7" s="1">
        <v>1</v>
      </c>
      <c r="D7" s="1">
        <v>11</v>
      </c>
      <c r="E7" s="1">
        <v>12</v>
      </c>
      <c r="F7" s="1">
        <v>12</v>
      </c>
      <c r="G7" s="1">
        <v>15</v>
      </c>
      <c r="H7" s="1"/>
      <c r="I7" s="3">
        <f>$D$38*D7*0.001</f>
        <v>0.73881262209437792</v>
      </c>
      <c r="J7" s="3">
        <f t="shared" ref="J7:L22" si="0">$D$38*E7*0.001</f>
        <v>0.80597740592113964</v>
      </c>
      <c r="K7" s="3">
        <f t="shared" si="0"/>
        <v>0.80597740592113964</v>
      </c>
      <c r="L7" s="3">
        <f t="shared" si="0"/>
        <v>1.0074717574014245</v>
      </c>
    </row>
    <row r="8" spans="3:12" x14ac:dyDescent="0.25">
      <c r="C8" s="1">
        <v>2</v>
      </c>
      <c r="D8" s="1">
        <v>6</v>
      </c>
      <c r="E8" s="1">
        <v>8</v>
      </c>
      <c r="F8" s="1">
        <v>8</v>
      </c>
      <c r="G8" s="1">
        <v>8</v>
      </c>
      <c r="H8" s="1"/>
      <c r="I8" s="3">
        <f t="shared" ref="I8:I31" si="1">$D$38*D8*0.001</f>
        <v>0.40298870296056982</v>
      </c>
      <c r="J8" s="3">
        <f t="shared" si="0"/>
        <v>0.5373182706140931</v>
      </c>
      <c r="K8" s="3">
        <f t="shared" si="0"/>
        <v>0.5373182706140931</v>
      </c>
      <c r="L8" s="3">
        <f t="shared" si="0"/>
        <v>0.5373182706140931</v>
      </c>
    </row>
    <row r="9" spans="3:12" x14ac:dyDescent="0.25">
      <c r="C9" s="1">
        <v>3</v>
      </c>
      <c r="D9" s="1">
        <v>10</v>
      </c>
      <c r="E9" s="1">
        <v>11</v>
      </c>
      <c r="F9" s="1">
        <v>10</v>
      </c>
      <c r="G9" s="1">
        <v>9</v>
      </c>
      <c r="H9" s="1"/>
      <c r="I9" s="3">
        <f t="shared" si="1"/>
        <v>0.67164783826761643</v>
      </c>
      <c r="J9" s="3">
        <f t="shared" si="0"/>
        <v>0.73881262209437792</v>
      </c>
      <c r="K9" s="3">
        <f t="shared" si="0"/>
        <v>0.67164783826761643</v>
      </c>
      <c r="L9" s="3">
        <f t="shared" si="0"/>
        <v>0.60448305444085471</v>
      </c>
    </row>
    <row r="10" spans="3:12" x14ac:dyDescent="0.25">
      <c r="C10" s="1">
        <v>4</v>
      </c>
      <c r="D10" s="1">
        <v>13</v>
      </c>
      <c r="E10" s="1">
        <v>13</v>
      </c>
      <c r="F10" s="1">
        <v>10</v>
      </c>
      <c r="G10" s="1">
        <v>9</v>
      </c>
      <c r="H10" s="1"/>
      <c r="I10" s="3">
        <f t="shared" si="1"/>
        <v>0.87314218974790125</v>
      </c>
      <c r="J10" s="3">
        <f t="shared" si="0"/>
        <v>0.87314218974790125</v>
      </c>
      <c r="K10" s="3">
        <f t="shared" si="0"/>
        <v>0.67164783826761643</v>
      </c>
      <c r="L10" s="3">
        <f t="shared" si="0"/>
        <v>0.60448305444085471</v>
      </c>
    </row>
    <row r="11" spans="3:12" x14ac:dyDescent="0.25">
      <c r="C11" s="1">
        <v>5</v>
      </c>
      <c r="D11" s="1">
        <v>15</v>
      </c>
      <c r="E11" s="1">
        <v>13</v>
      </c>
      <c r="F11" s="1">
        <v>9</v>
      </c>
      <c r="G11" s="1">
        <v>8</v>
      </c>
      <c r="H11" s="1"/>
      <c r="I11" s="3">
        <f t="shared" si="1"/>
        <v>1.0074717574014245</v>
      </c>
      <c r="J11" s="3">
        <f t="shared" si="0"/>
        <v>0.87314218974790125</v>
      </c>
      <c r="K11" s="3">
        <f t="shared" si="0"/>
        <v>0.60448305444085471</v>
      </c>
      <c r="L11" s="3">
        <f t="shared" si="0"/>
        <v>0.5373182706140931</v>
      </c>
    </row>
    <row r="12" spans="3:12" x14ac:dyDescent="0.25">
      <c r="C12" s="1">
        <v>6</v>
      </c>
      <c r="D12" s="1">
        <v>15</v>
      </c>
      <c r="E12" s="1">
        <v>12</v>
      </c>
      <c r="F12" s="1">
        <v>8</v>
      </c>
      <c r="G12" s="1">
        <v>6</v>
      </c>
      <c r="H12" s="1"/>
      <c r="I12" s="3">
        <f t="shared" si="1"/>
        <v>1.0074717574014245</v>
      </c>
      <c r="J12" s="3">
        <f t="shared" si="0"/>
        <v>0.80597740592113964</v>
      </c>
      <c r="K12" s="3">
        <f t="shared" si="0"/>
        <v>0.5373182706140931</v>
      </c>
      <c r="L12" s="3">
        <f t="shared" si="0"/>
        <v>0.40298870296056982</v>
      </c>
    </row>
    <row r="13" spans="3:12" x14ac:dyDescent="0.25">
      <c r="C13" s="1">
        <v>7</v>
      </c>
      <c r="D13" s="1">
        <v>17</v>
      </c>
      <c r="E13" s="1">
        <v>13</v>
      </c>
      <c r="F13" s="1">
        <v>7</v>
      </c>
      <c r="G13" s="1">
        <v>5</v>
      </c>
      <c r="H13" s="1"/>
      <c r="I13" s="3">
        <f t="shared" si="1"/>
        <v>1.1418013250549477</v>
      </c>
      <c r="J13" s="3">
        <f t="shared" si="0"/>
        <v>0.87314218974790125</v>
      </c>
      <c r="K13" s="3">
        <f t="shared" si="0"/>
        <v>0.47015348678733143</v>
      </c>
      <c r="L13" s="3">
        <f t="shared" si="0"/>
        <v>0.33582391913380821</v>
      </c>
    </row>
    <row r="14" spans="3:12" x14ac:dyDescent="0.25">
      <c r="C14" s="1">
        <v>8</v>
      </c>
      <c r="D14" s="1">
        <v>18</v>
      </c>
      <c r="E14" s="1">
        <v>14</v>
      </c>
      <c r="F14" s="1">
        <v>6</v>
      </c>
      <c r="G14" s="1">
        <v>4</v>
      </c>
      <c r="H14" s="1"/>
      <c r="I14" s="3">
        <f t="shared" si="1"/>
        <v>1.2089661088817094</v>
      </c>
      <c r="J14" s="3">
        <f t="shared" si="0"/>
        <v>0.94030697357466286</v>
      </c>
      <c r="K14" s="3">
        <f t="shared" si="0"/>
        <v>0.40298870296056982</v>
      </c>
      <c r="L14" s="3">
        <f t="shared" si="0"/>
        <v>0.26865913530704655</v>
      </c>
    </row>
    <row r="15" spans="3:12" x14ac:dyDescent="0.25">
      <c r="C15" s="1">
        <v>9</v>
      </c>
      <c r="D15" s="1">
        <v>20</v>
      </c>
      <c r="E15" s="1">
        <v>14</v>
      </c>
      <c r="F15" s="1">
        <v>5</v>
      </c>
      <c r="G15" s="1">
        <v>2</v>
      </c>
      <c r="H15" s="1"/>
      <c r="I15" s="3">
        <f t="shared" si="1"/>
        <v>1.3432956765352329</v>
      </c>
      <c r="J15" s="3">
        <f t="shared" si="0"/>
        <v>0.94030697357466286</v>
      </c>
      <c r="K15" s="3">
        <f t="shared" si="0"/>
        <v>0.33582391913380821</v>
      </c>
      <c r="L15" s="3">
        <f t="shared" si="0"/>
        <v>0.13432956765352327</v>
      </c>
    </row>
    <row r="16" spans="3:12" x14ac:dyDescent="0.25">
      <c r="C16" s="1">
        <v>10</v>
      </c>
      <c r="D16" s="1">
        <v>17</v>
      </c>
      <c r="E16" s="1">
        <v>9</v>
      </c>
      <c r="F16" s="1">
        <v>6</v>
      </c>
      <c r="G16" s="1">
        <v>-2</v>
      </c>
      <c r="H16" s="1"/>
      <c r="I16" s="3">
        <f t="shared" si="1"/>
        <v>1.1418013250549477</v>
      </c>
      <c r="J16" s="3">
        <f t="shared" si="0"/>
        <v>0.60448305444085471</v>
      </c>
      <c r="K16" s="3">
        <f t="shared" si="0"/>
        <v>0.40298870296056982</v>
      </c>
      <c r="L16" s="3">
        <f t="shared" si="0"/>
        <v>-0.13432956765352327</v>
      </c>
    </row>
    <row r="17" spans="3:12" x14ac:dyDescent="0.25">
      <c r="C17" s="1">
        <v>11</v>
      </c>
      <c r="D17" s="1">
        <v>16</v>
      </c>
      <c r="E17" s="1">
        <v>9</v>
      </c>
      <c r="F17" s="1">
        <v>-4</v>
      </c>
      <c r="G17" s="1">
        <v>-2</v>
      </c>
      <c r="H17" s="1"/>
      <c r="I17" s="3">
        <f t="shared" si="1"/>
        <v>1.0746365412281862</v>
      </c>
      <c r="J17" s="3">
        <f t="shared" si="0"/>
        <v>0.60448305444085471</v>
      </c>
      <c r="K17" s="3">
        <f t="shared" si="0"/>
        <v>-0.26865913530704655</v>
      </c>
      <c r="L17" s="3">
        <f t="shared" si="0"/>
        <v>-0.13432956765352327</v>
      </c>
    </row>
    <row r="18" spans="3:12" x14ac:dyDescent="0.25">
      <c r="C18" s="1">
        <v>12</v>
      </c>
      <c r="D18" s="1">
        <v>13</v>
      </c>
      <c r="E18" s="1">
        <v>4</v>
      </c>
      <c r="F18" s="1">
        <v>-5</v>
      </c>
      <c r="G18" s="1">
        <v>-3</v>
      </c>
      <c r="H18" s="1"/>
      <c r="I18" s="3">
        <f t="shared" si="1"/>
        <v>0.87314218974790125</v>
      </c>
      <c r="J18" s="3">
        <f t="shared" si="0"/>
        <v>0.26865913530704655</v>
      </c>
      <c r="K18" s="3">
        <f t="shared" si="0"/>
        <v>-0.33582391913380821</v>
      </c>
      <c r="L18" s="3">
        <f t="shared" si="0"/>
        <v>-0.20149435148028491</v>
      </c>
    </row>
    <row r="19" spans="3:12" x14ac:dyDescent="0.25">
      <c r="C19" s="1">
        <v>13</v>
      </c>
      <c r="D19" s="1">
        <v>6</v>
      </c>
      <c r="E19" s="1">
        <v>-3</v>
      </c>
      <c r="F19" s="1">
        <v>1</v>
      </c>
      <c r="G19" s="1">
        <v>5</v>
      </c>
      <c r="H19" s="1"/>
      <c r="I19" s="3">
        <f t="shared" si="1"/>
        <v>0.40298870296056982</v>
      </c>
      <c r="J19" s="3">
        <f t="shared" si="0"/>
        <v>-0.20149435148028491</v>
      </c>
      <c r="K19" s="3">
        <f t="shared" si="0"/>
        <v>6.7164783826761637E-2</v>
      </c>
      <c r="L19" s="3">
        <f t="shared" si="0"/>
        <v>0.33582391913380821</v>
      </c>
    </row>
    <row r="20" spans="3:12" x14ac:dyDescent="0.25">
      <c r="C20" s="1">
        <v>14</v>
      </c>
      <c r="D20" s="1">
        <v>0</v>
      </c>
      <c r="E20" s="1">
        <v>6</v>
      </c>
      <c r="F20" s="1">
        <v>49</v>
      </c>
      <c r="G20" s="1">
        <v>4</v>
      </c>
      <c r="H20" s="1"/>
      <c r="I20" s="3">
        <f t="shared" si="1"/>
        <v>0</v>
      </c>
      <c r="J20" s="3">
        <f t="shared" si="0"/>
        <v>0.40298870296056982</v>
      </c>
      <c r="K20" s="3">
        <f t="shared" si="0"/>
        <v>3.2910744075113203</v>
      </c>
      <c r="L20" s="3">
        <f t="shared" si="0"/>
        <v>0.26865913530704655</v>
      </c>
    </row>
    <row r="21" spans="3:12" x14ac:dyDescent="0.25">
      <c r="C21" s="1">
        <v>15</v>
      </c>
      <c r="D21" s="1">
        <v>9</v>
      </c>
      <c r="E21" s="1">
        <v>24</v>
      </c>
      <c r="F21" s="1">
        <v>43</v>
      </c>
      <c r="G21" s="1">
        <v>3</v>
      </c>
      <c r="H21" s="1"/>
      <c r="I21" s="3">
        <f t="shared" si="1"/>
        <v>0.60448305444085471</v>
      </c>
      <c r="J21" s="3">
        <f t="shared" si="0"/>
        <v>1.6119548118422793</v>
      </c>
      <c r="K21" s="3">
        <f t="shared" si="0"/>
        <v>2.8880857045507504</v>
      </c>
      <c r="L21" s="3">
        <f t="shared" si="0"/>
        <v>0.20149435148028491</v>
      </c>
    </row>
    <row r="22" spans="3:12" x14ac:dyDescent="0.25">
      <c r="C22" s="1">
        <v>16</v>
      </c>
      <c r="D22" s="1">
        <v>8</v>
      </c>
      <c r="E22" s="1">
        <v>23</v>
      </c>
      <c r="F22" s="1">
        <v>27</v>
      </c>
      <c r="G22" s="1">
        <v>3</v>
      </c>
      <c r="H22" s="1"/>
      <c r="I22" s="3">
        <f t="shared" si="1"/>
        <v>0.5373182706140931</v>
      </c>
      <c r="J22" s="3">
        <f t="shared" si="0"/>
        <v>1.5447900280155178</v>
      </c>
      <c r="K22" s="3">
        <f t="shared" si="0"/>
        <v>1.8134491633225642</v>
      </c>
      <c r="L22" s="3">
        <f t="shared" si="0"/>
        <v>0.20149435148028491</v>
      </c>
    </row>
    <row r="23" spans="3:12" x14ac:dyDescent="0.25">
      <c r="C23" s="1">
        <v>17</v>
      </c>
      <c r="D23" s="1">
        <v>6</v>
      </c>
      <c r="E23" s="1">
        <v>24</v>
      </c>
      <c r="F23" s="1">
        <v>23</v>
      </c>
      <c r="G23" s="1">
        <v>2</v>
      </c>
      <c r="H23" s="1"/>
      <c r="I23" s="3">
        <f t="shared" si="1"/>
        <v>0.40298870296056982</v>
      </c>
      <c r="J23" s="3">
        <f t="shared" ref="J23:J31" si="2">$D$38*E23*0.001</f>
        <v>1.6119548118422793</v>
      </c>
      <c r="K23" s="3">
        <f t="shared" ref="K23:K31" si="3">$D$38*F23*0.001</f>
        <v>1.5447900280155178</v>
      </c>
      <c r="L23" s="3">
        <f t="shared" ref="L23:L31" si="4">$D$38*G23*0.001</f>
        <v>0.13432956765352327</v>
      </c>
    </row>
    <row r="24" spans="3:12" x14ac:dyDescent="0.25">
      <c r="C24" s="1">
        <v>18</v>
      </c>
      <c r="D24" s="1">
        <v>7</v>
      </c>
      <c r="E24" s="1">
        <v>22</v>
      </c>
      <c r="F24" s="1">
        <v>19</v>
      </c>
      <c r="G24" s="1">
        <v>3</v>
      </c>
      <c r="H24" s="1"/>
      <c r="I24" s="3">
        <f t="shared" si="1"/>
        <v>0.47015348678733143</v>
      </c>
      <c r="J24" s="3">
        <f t="shared" si="2"/>
        <v>1.4776252441887558</v>
      </c>
      <c r="K24" s="3">
        <f t="shared" si="3"/>
        <v>1.2761308927084711</v>
      </c>
      <c r="L24" s="3">
        <f t="shared" si="4"/>
        <v>0.20149435148028491</v>
      </c>
    </row>
    <row r="25" spans="3:12" x14ac:dyDescent="0.25">
      <c r="C25" s="1">
        <v>19</v>
      </c>
      <c r="D25" s="1">
        <v>6</v>
      </c>
      <c r="E25" s="1">
        <v>18</v>
      </c>
      <c r="F25" s="1">
        <v>17</v>
      </c>
      <c r="G25" s="1">
        <v>7</v>
      </c>
      <c r="H25" s="1"/>
      <c r="I25" s="3">
        <f t="shared" si="1"/>
        <v>0.40298870296056982</v>
      </c>
      <c r="J25" s="3">
        <f t="shared" si="2"/>
        <v>1.2089661088817094</v>
      </c>
      <c r="K25" s="3">
        <f t="shared" si="3"/>
        <v>1.1418013250549477</v>
      </c>
      <c r="L25" s="3">
        <f t="shared" si="4"/>
        <v>0.47015348678733143</v>
      </c>
    </row>
    <row r="26" spans="3:12" x14ac:dyDescent="0.25">
      <c r="C26" s="1">
        <v>20</v>
      </c>
      <c r="D26" s="1">
        <v>11</v>
      </c>
      <c r="E26" s="1">
        <v>12</v>
      </c>
      <c r="F26" s="1">
        <v>10</v>
      </c>
      <c r="G26" s="1">
        <v>-5</v>
      </c>
      <c r="H26" s="1"/>
      <c r="I26" s="3">
        <f t="shared" si="1"/>
        <v>0.73881262209437792</v>
      </c>
      <c r="J26" s="3">
        <f t="shared" si="2"/>
        <v>0.80597740592113964</v>
      </c>
      <c r="K26" s="3">
        <f t="shared" si="3"/>
        <v>0.67164783826761643</v>
      </c>
      <c r="L26" s="3">
        <f t="shared" si="4"/>
        <v>-0.33582391913380821</v>
      </c>
    </row>
    <row r="27" spans="3:12" x14ac:dyDescent="0.25">
      <c r="C27" s="1">
        <v>21</v>
      </c>
      <c r="D27" s="1">
        <v>-7</v>
      </c>
      <c r="E27" s="1">
        <v>-6</v>
      </c>
      <c r="F27" s="1">
        <v>-5</v>
      </c>
      <c r="G27" s="1">
        <v>22</v>
      </c>
      <c r="H27" s="1"/>
      <c r="I27" s="3">
        <f t="shared" si="1"/>
        <v>-0.47015348678733143</v>
      </c>
      <c r="J27" s="3">
        <f t="shared" si="2"/>
        <v>-0.40298870296056982</v>
      </c>
      <c r="K27" s="3">
        <f t="shared" si="3"/>
        <v>-0.33582391913380821</v>
      </c>
      <c r="L27" s="3">
        <f t="shared" si="4"/>
        <v>1.4776252441887558</v>
      </c>
    </row>
    <row r="28" spans="3:12" x14ac:dyDescent="0.25">
      <c r="C28" s="1">
        <v>22</v>
      </c>
      <c r="D28" s="1">
        <v>9</v>
      </c>
      <c r="E28" s="1">
        <v>9</v>
      </c>
      <c r="F28" s="1">
        <v>11</v>
      </c>
      <c r="G28" s="1">
        <v>20</v>
      </c>
      <c r="H28" s="1"/>
      <c r="I28" s="3">
        <f t="shared" si="1"/>
        <v>0.60448305444085471</v>
      </c>
      <c r="J28" s="3">
        <f t="shared" si="2"/>
        <v>0.60448305444085471</v>
      </c>
      <c r="K28" s="3">
        <f t="shared" si="3"/>
        <v>0.73881262209437792</v>
      </c>
      <c r="L28" s="3">
        <f t="shared" si="4"/>
        <v>1.3432956765352329</v>
      </c>
    </row>
    <row r="29" spans="3:12" x14ac:dyDescent="0.25">
      <c r="C29" s="1">
        <v>23</v>
      </c>
      <c r="D29" s="1">
        <v>12</v>
      </c>
      <c r="E29" s="1">
        <v>12</v>
      </c>
      <c r="F29" s="1">
        <v>10</v>
      </c>
      <c r="G29" s="1">
        <v>19</v>
      </c>
      <c r="H29" s="1"/>
      <c r="I29" s="3">
        <f t="shared" si="1"/>
        <v>0.80597740592113964</v>
      </c>
      <c r="J29" s="3">
        <f t="shared" si="2"/>
        <v>0.80597740592113964</v>
      </c>
      <c r="K29" s="3">
        <f t="shared" si="3"/>
        <v>0.67164783826761643</v>
      </c>
      <c r="L29" s="3">
        <f t="shared" si="4"/>
        <v>1.2761308927084711</v>
      </c>
    </row>
    <row r="30" spans="3:12" x14ac:dyDescent="0.25">
      <c r="C30" s="1">
        <v>24</v>
      </c>
      <c r="D30" s="1">
        <v>11</v>
      </c>
      <c r="E30" s="1">
        <v>11</v>
      </c>
      <c r="F30" s="1">
        <v>11</v>
      </c>
      <c r="G30" s="1">
        <v>21</v>
      </c>
      <c r="H30" s="1"/>
      <c r="I30" s="3">
        <f t="shared" si="1"/>
        <v>0.73881262209437792</v>
      </c>
      <c r="J30" s="3">
        <f t="shared" si="2"/>
        <v>0.73881262209437792</v>
      </c>
      <c r="K30" s="3">
        <f t="shared" si="3"/>
        <v>0.73881262209437792</v>
      </c>
      <c r="L30" s="3">
        <f t="shared" si="4"/>
        <v>1.4104604603619944</v>
      </c>
    </row>
    <row r="31" spans="3:12" x14ac:dyDescent="0.25">
      <c r="C31" s="1">
        <v>25</v>
      </c>
      <c r="D31" s="1">
        <v>10</v>
      </c>
      <c r="E31" s="1">
        <v>9</v>
      </c>
      <c r="F31" s="1">
        <v>10</v>
      </c>
      <c r="G31" s="1">
        <v>16</v>
      </c>
      <c r="H31" s="1"/>
      <c r="I31" s="3">
        <f t="shared" si="1"/>
        <v>0.67164783826761643</v>
      </c>
      <c r="J31" s="3">
        <f t="shared" si="2"/>
        <v>0.60448305444085471</v>
      </c>
      <c r="K31" s="3">
        <f t="shared" si="3"/>
        <v>0.67164783826761643</v>
      </c>
      <c r="L31" s="3">
        <f t="shared" si="4"/>
        <v>1.0746365412281862</v>
      </c>
    </row>
    <row r="35" spans="3:4" x14ac:dyDescent="0.25">
      <c r="C35" t="s">
        <v>6</v>
      </c>
      <c r="D35">
        <v>15.81</v>
      </c>
    </row>
    <row r="36" spans="3:4" x14ac:dyDescent="0.25">
      <c r="C36" t="s">
        <v>7</v>
      </c>
      <c r="D36">
        <v>1.1639999999999999</v>
      </c>
    </row>
    <row r="37" spans="3:4" x14ac:dyDescent="0.25">
      <c r="C37" t="s">
        <v>8</v>
      </c>
      <c r="D37">
        <v>996</v>
      </c>
    </row>
    <row r="38" spans="3:4" x14ac:dyDescent="0.25">
      <c r="C38" t="s">
        <v>10</v>
      </c>
      <c r="D38">
        <f>(D37*9.81)/(0.5*D36*D35*D35)</f>
        <v>67.164783826761635</v>
      </c>
    </row>
  </sheetData>
  <mergeCells count="2">
    <mergeCell ref="D5:G5"/>
    <mergeCell ref="I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30Hz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Ananda</dc:creator>
  <cp:lastModifiedBy>Rico Ananda</cp:lastModifiedBy>
  <dcterms:created xsi:type="dcterms:W3CDTF">2025-10-09T01:00:24Z</dcterms:created>
  <dcterms:modified xsi:type="dcterms:W3CDTF">2025-10-09T05:06:38Z</dcterms:modified>
</cp:coreProperties>
</file>